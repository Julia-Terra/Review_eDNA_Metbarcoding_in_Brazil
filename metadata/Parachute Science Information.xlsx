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liaterratorres/Documents/Doutorado Direto/Revisao_dados_plots/Tabelas/"/>
    </mc:Choice>
  </mc:AlternateContent>
  <xr:revisionPtr revIDLastSave="0" documentId="13_ncr:1_{0B5456B4-F252-9E40-B2F5-429C349F6C3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8" i="1" l="1"/>
  <c r="AC48" i="1"/>
  <c r="AH49" i="1"/>
  <c r="AG49" i="1"/>
  <c r="AE49" i="1"/>
</calcChain>
</file>

<file path=xl/sharedStrings.xml><?xml version="1.0" encoding="utf-8"?>
<sst xmlns="http://schemas.openxmlformats.org/spreadsheetml/2006/main" count="313" uniqueCount="199">
  <si>
    <t>Title</t>
  </si>
  <si>
    <t>eDNA metabarcoding: a promising method for anuran surveys in highly diverse tropical forests</t>
  </si>
  <si>
    <t>Lost and found: Frogs in a biodiversity hotspot rediscovered with environmental DNA</t>
  </si>
  <si>
    <t>Environmental DNA survey does not detect additional populations of a critically endangered leaf frog, but reveal another threat to the species</t>
  </si>
  <si>
    <t>Environmental DNA characterization of amphibian communities in the Brazilian Atlantic forest: Potential application for conservation of a rich and threatened fauna</t>
  </si>
  <si>
    <t>Environmental DNA as a non-invasive alternative for surveying aquatic communities in tank bromeliads</t>
  </si>
  <si>
    <t>Ecological specialization and niche overlap of subterranean rodents inferred from DNA metabarcoding diet analysis</t>
  </si>
  <si>
    <t>Power and limitations of environmental DNA metabarcoding for surveying leaf litter eukaryotic communities</t>
  </si>
  <si>
    <t>Assessing Pantanal fauna through environmental DNA metabarcoding after the 2020 megafire</t>
  </si>
  <si>
    <t>Efficient Monitoring of Adult and Immature Mosquitoes Through Metabarcoding of Bulk Samples: A Case Study for Non-Model Culicids With Unique Ecologies</t>
  </si>
  <si>
    <t>Biodiversity assessments in the 21st century: the potential of insect traps to complement environmental samples for estimating eukaryotic and prokaryotic diversity using high-throughput DNA metabarcoding</t>
  </si>
  <si>
    <t>Contrasting patterns of foraging behavior in neotropical stingless bees using pollen and honey metabarcoding</t>
  </si>
  <si>
    <t>DNA-Based Arthropod Diversity Assessment in Amazonian Iron Mine Lands Show Ecological Succession Towards Undisturbed Reference Sites</t>
  </si>
  <si>
    <t>Culicidae-centric metabarcoding through targeted use of D2 ribosomal DNA primers</t>
  </si>
  <si>
    <t>DNA metabarcoding diet analysis for species with parapatric vs sympatric distribution: a case study on subterranean rodents</t>
  </si>
  <si>
    <t>Metabarcoding Analyses Enable Differentiation of Both Interspecific Assemblages and Intraspecific Divergence in Habitats With Differing Management Practices</t>
  </si>
  <si>
    <t>Metabarcoding versus mapping unassembled shotgun reads for identification of prey consumed by arthropod epigeal predators</t>
  </si>
  <si>
    <t>Ecological monitoring using Collembola metabarcoding with extremely low bycatch amplification</t>
  </si>
  <si>
    <t>Assessing insect biodiversity with automatic light traps in Brazil: Pearls and pitfalls of metabarcoding samples in preservative ethanol</t>
  </si>
  <si>
    <t>Unraveling the plant diversity of the Amazonian canga through DNA barcoding</t>
  </si>
  <si>
    <t>Vertebrate diversity revealed by metabarcoding of bulk arthropod samples from tropical forests</t>
  </si>
  <si>
    <t>Dietary metabarcoding of keystone sardine species reveals the importance of their ichthyoplankton prey in food webs of the Southern Brazilian Bight fisheries</t>
  </si>
  <si>
    <t>The challenge of implementing environmental DNA metabarcoding to detect elasmobranchs in a resource-limited marine protected area</t>
  </si>
  <si>
    <t>The use of metabarcoding for meiofauna ecological patterns assessment</t>
  </si>
  <si>
    <t>Unexpected diversity in the diet of Doryteuthis sanpaulensis (Brakoniecki, 1984) (Mollusca: Cephalopoda) from the southern Brazilian sardine fishery identified by metabarcoding</t>
  </si>
  <si>
    <t>A large scale temporal and spatial environmental DNA biodiversity survey of marine vertebrates in Brazil following the Fundao tailings dam failure</t>
  </si>
  <si>
    <t>Molecular analyses of carangid fish diets reveal inter-predation, dietary overlap, and the importance of early life stages in trophic</t>
  </si>
  <si>
    <t>Meiofauna at a tropical sandy beach in the SW Atlantic: the influence of seasonality on diversity</t>
  </si>
  <si>
    <t>Metabarcoding Reveals Meiofaunal Diversity in Rhodolith Beds From SE Brazil</t>
  </si>
  <si>
    <t>Assessing the potential of environmental DNA metabarcoding for monitoring Neotropical mammals: a case study in the Amazon and Atlantic Forest, Brazil</t>
  </si>
  <si>
    <t>The critical role of natural history museums in advancing eDNA for biodiversity studies: a case study with Amazonian fishes</t>
  </si>
  <si>
    <t>Insights into the representativeness of biodiversity assessment in large reservoir through eDNA metabarcoding</t>
  </si>
  <si>
    <t>Wanted not, wasted not: Searching for non-target taxa in environmental DNA metabarcoding by-catch</t>
  </si>
  <si>
    <t>Influence of preservation methods, sample medium and sampling time on eDNA recovery in a neotropical rive</t>
  </si>
  <si>
    <t>Space-time dynamics in monitoring neotropical fish communities using eDNA metabarcoding</t>
  </si>
  <si>
    <t>Trophic interactions of vampire catfishes (Siluriformes: Vandelliinae) revealed by metabarcoding analysis of stomach contents</t>
  </si>
  <si>
    <t>New 12S metabarcoding primers for enhanced Neotropical freshwater fish biodiversity assessment</t>
  </si>
  <si>
    <t>Monitoring fish communities through environmental DNA metabarcoding in the fish pass system of the second largest hydropower plant in the world</t>
  </si>
  <si>
    <t>DNA metabarcoding of mock communities highlights potential biases when assessing Neotropical fish diversity</t>
  </si>
  <si>
    <t>DNA metabarcoding assessment of Neotropical ichthyoplankton communities is marker-dependent</t>
  </si>
  <si>
    <t>DNA metabarcoding of Neotropical ichthyoplankton: Enabling high accuracy with lower cost</t>
  </si>
  <si>
    <t>Chronic trace metals effects of mine tailings on estuarine assemblages revealed by environmental DNA</t>
  </si>
  <si>
    <t>Transition of an estuarine benthic meiofauna assemblage 1.7 and 2.8 years after a mining disaster</t>
  </si>
  <si>
    <t>Without brazilian representation</t>
  </si>
  <si>
    <t>Brazilian financial support</t>
  </si>
  <si>
    <t>Authors</t>
  </si>
  <si>
    <t>Lopes, CM; Sasso, T; Valentini, A; Dejean, T; Martins, M; Zamudio, KR; Haddad, CFB</t>
  </si>
  <si>
    <t>Lopes, CM; Baêta, D; Valentini, A; Lyra, ML; Sabbag, AF; Gasparini, JL; Dejean, T; Haddad, CFB; Zamudio, KR</t>
  </si>
  <si>
    <t>Ernetti, JR; Lopes, CM; Ribeiro, LP; De Bastiani, VIM; Lucas, EM; Toledo, LF</t>
  </si>
  <si>
    <t>Sasso, T; Lopes, C.M; Valentini, A; Dejean, T; Zamudio, K. R. ; Haddadb, C.F.B.; Martins, M</t>
  </si>
  <si>
    <t>Lopes, CM; Santos, MTT; Baêta, D; Sabbag, AF; Haddad, CFB</t>
  </si>
  <si>
    <t>Lopes, CM; De Barba, M; Boyer, F; Mercier, C; Galiano, D; Kubiak, BB; Maestri, R; da Silva, PJS; Gielly, L; Coissac, E; de Freitas, TRO; Taberlet, P</t>
  </si>
  <si>
    <t>Lopes, CM; Baêta, D; Sasso, T; Vanzetti, A; Zamudio, KL; Taberlet P; Haddad, CFB</t>
  </si>
  <si>
    <t>Lima, L; Saranholi, BH; Magioli, M; Concone, HVB</t>
  </si>
  <si>
    <t>Pedro, PM; de Sá, ILR; Rojas, MVR; Amorim, JA; Galardo, AKR; Neto, NFS; Furtado, NVR; de Carvalho, DP; Ribeiro, KAN; de Paiva, M; Razzolini, MTP; Sallum, MAM</t>
  </si>
  <si>
    <t>Ritter, CD; Häggqvist, S; Karlsson, D; Sääksjarvi, IE; Muasya, AM; Nilsson, RH; Antonelli, A</t>
  </si>
  <si>
    <t>Martins, AC; Proenca, CEB; Vasconcelos, TNC; Aguiar, AJC; Farinasso, HC; de Lima, ATF; Faria, JEQ; Norrana, K; Costa, MBR; Carvalho, MM; Dias, RL; Bustamante, MMC; Carvalho, FA; Keller, A</t>
  </si>
  <si>
    <t>Lynggaard, C; Yu, DGW; Oliveira, G; Caldeira, CF; Ramos, SJ; Ellegaard, MR; Gilbert, MTP; Gastauer, M; Bohmann, K</t>
  </si>
  <si>
    <t>Pedro, PM; Amorim, J; Rojas, MVR; Sá, IL; Galardo, AKR; Santos, NF; de Carvalho, DP; Ribeiro, KAN; Razzolini, MTP; Sallum, MAM</t>
  </si>
  <si>
    <t>Lopes, CM; De Barba, M; Boyer, F; Mercier, C; da Silva, PJS; Heidtmann, LM; Galiano, D; Kubiak, BB; Langone, P; Garcias, FM; Gielly, L; Coissac, E; de Freitas, TRO; Taberlet, P</t>
  </si>
  <si>
    <t>Pedro, PM; Piper, R; Neto, PB; Cullen, L; Dropa, M; Lorencao, R; Matté, MH; Rech, TC; Rufato, MO; Silva, M; Turati, DT</t>
  </si>
  <si>
    <t>Paula, DP; Barros, SKA; Pitta, RM; Barreto, MR; Togawa, RC; Andow, DA</t>
  </si>
  <si>
    <t>Pedro, PM; Cullen, L Jr; Prado, F; Uezu, A; Piper, R; Faria, CMA; Knogge, C; Razzolini, MTP; Paiva, MB; Dropa, M; Silva, M; Rech, TC; Püttker, T</t>
  </si>
  <si>
    <t>Zenker, MM; Specht, A; Fonseca, VG</t>
  </si>
  <si>
    <t>Vasconcelos, S; Nunes, GL; Dias, MC; Lorena, J; Oliveira, RRM; Lima, TGL; Pires, ES; Valadares, RBS; Alves, R; Watanabe, MTC; Zappi, DC; Hiura, AL; Pastore, M; Vasconcelos, LV; Mota, NFO; Viana, PL; Gil, ASB; Simoes, AO; Imperatriz-Fonseca, VL; Harley, RM; Giulietti, AM; Oliveira, G</t>
  </si>
  <si>
    <t>Lynggaard C; Nielsen, M; Santos-Bay, L; Gastauer, M; Oliveira, G; Bohmann, K</t>
  </si>
  <si>
    <t>de Queiroz, AKO; Gasalla, MA; Laux, M; Oliveira, RRM; Santa Rosa, FD; Schroder-Nielsen, A; Postuma, FA; Sales, JBD; de Boer, HJ; Mauvisseau, Q; Ready, JS</t>
  </si>
  <si>
    <t>Cruz, MM; Sauvage, T; Chariton, A; de Freitas, TRO</t>
  </si>
  <si>
    <t>de Faria, LC; Di Domenico, M; Andrade, SCS; dos Santos, MC; Fonseca, G; Zanol, J; Amaral, ACZ</t>
  </si>
  <si>
    <t>Ribas, TFA; Sales, JBD; de Boer, H; Anmarkrud, JA; Oliveira, RRM; Laux, M; Rosa, FDS; Oliveira, GC; Postuma, FA; Gasalla, MA; Ready, JS</t>
  </si>
  <si>
    <t>Lines, R; Juggernauth, M; Peverley, G; Keating, J; Simpson, T; Mousavi-Derazmahalleh, M; Bunce, M; Taysom, A; Bernardino, AF; Whittle, P</t>
  </si>
  <si>
    <t>Rosa, F. d. A. S., Gasalla, M. A., de Queiroz, A. K. O., Ribas, T. F. A., Mauvisseau, Q., de Boer, H. J., Thorbek, B. L. G., Oliveira, R. R. M., Laux, M., Postuma, F. A., &amp; Ready, J. S. </t>
  </si>
  <si>
    <t>Coppo, G; Pereira, AP; Netto, SA; Bernadino AF</t>
  </si>
  <si>
    <t>Gabriel C. Coppo; Sergio A. Netto; Fabiano S. Pais; Ana Carolina A. Mazzuc</t>
  </si>
  <si>
    <t>Sales, NG; Kaizer, MD; Coscia, I; Perkins, JC; Highlands, A; Boubli, JP; Magnusson, WE; Silva, MNF; Benvenuto, C; Mcdevitt, AD</t>
  </si>
  <si>
    <t>de Santana, CD; Parenti, LR; Dillman, CB; Coddington, JA; Bastos, DA; Baldwin, CC; Zuanon, J; Torrente-Vilara, G; Covain, R; Menezes, NA; Datovo, A; Sado, T; Miya, M</t>
  </si>
  <si>
    <t>Cortez, T; Torres, A; Guimarães, M; Pinheiro, H; Cabral, M; Zielinsky, G; Pereira, C; de Castro, Gi; Guerreiro, L; Americo, J</t>
  </si>
  <si>
    <t>Ritter, CD; Dal Pont, Gi; Stica, PV; Horodesky, A; Cozer, N; Netto, OSM; Henn, C; Ostrensky, A; Pie, MR</t>
  </si>
  <si>
    <t>Sales NG; Wangensteen, OS; Daniel CC; Stefano M</t>
  </si>
  <si>
    <t>Sales, NG; Wangensteen, OS; Carvalho, DC; Deiner, K; Præbel, K; Coscia, I; McDevitt, AD; Mariani, S</t>
  </si>
  <si>
    <t>Bonato, KO; Silva, PC; Carvalho, FR; Malabarba, LR</t>
  </si>
  <si>
    <t>Milan, DT; Mendes, IS; Damasceno, JS; Teixeira, DF; Sales, NG; Carvalho, DC</t>
  </si>
  <si>
    <t>Dal Pont, G; Ritter, CD; Agostinis, AO; Stica, PV; Horodesky, A; Cozer, N; Balsanelli, E; Netto, OSM; Henn, C; Ostrensky, A; Pie, MR</t>
  </si>
  <si>
    <t>Hilário, HO; Mendes, IS; Sales, NG; Carvalho, DC</t>
  </si>
  <si>
    <t>Teixeira, DF; Hilario, HO; Santos, GB; Carvalho, DC</t>
  </si>
  <si>
    <t>Nobile, AB; Freitas-Souza, D;Ruiz-Ruano, FJ; Nobile, ML; Costa, GO; de Lima, FP; Camacho, JPM; Foresti, F; Oliveira, C</t>
  </si>
  <si>
    <t>Bernardino, AF; Pais, FS; Oliveira, LS; Gabriel, FA; Ferreira, TO; Queiroz, HM; Mazzuco, ACA</t>
  </si>
  <si>
    <t>Coppo, G; Pais, FS ; Ferreira TO; Ken M</t>
  </si>
  <si>
    <t>First author institution</t>
  </si>
  <si>
    <t>Foreigners</t>
  </si>
  <si>
    <t>Country</t>
  </si>
  <si>
    <t>France, USA</t>
  </si>
  <si>
    <t>CNPq</t>
  </si>
  <si>
    <t>FAPESP</t>
  </si>
  <si>
    <t>São Paulo State University (UNESP)</t>
  </si>
  <si>
    <t>Campinas State University (UNICAMP)</t>
  </si>
  <si>
    <t>São Paulo University (USP)</t>
  </si>
  <si>
    <t>NA</t>
  </si>
  <si>
    <t>France</t>
  </si>
  <si>
    <t>CNPq, FAPERG</t>
  </si>
  <si>
    <t>FAPERG</t>
  </si>
  <si>
    <t>Foreign financial support</t>
  </si>
  <si>
    <t>Agence Nationale de la Recherche (ANR, France)</t>
  </si>
  <si>
    <t>ANR, FRANCE</t>
  </si>
  <si>
    <t>Australia, Argentina, France</t>
  </si>
  <si>
    <t>CNPq, FAPESP</t>
  </si>
  <si>
    <t>ICMBio/CENAP</t>
  </si>
  <si>
    <t>ICMBio, MCTI, FAPESP</t>
  </si>
  <si>
    <t>Ministério da Ciência e Tecnologia (MCTI)</t>
  </si>
  <si>
    <t>ICMBio</t>
  </si>
  <si>
    <t>National Geographic Society</t>
  </si>
  <si>
    <t>University of Duisburg-Essen, Germany</t>
  </si>
  <si>
    <t>Swedish Research Council</t>
  </si>
  <si>
    <t>Germany, Sweden, Finland</t>
  </si>
  <si>
    <t>Brasilia University</t>
  </si>
  <si>
    <t>Foreing Last author</t>
  </si>
  <si>
    <t>Germany, USA</t>
  </si>
  <si>
    <t xml:space="preserve">NA </t>
  </si>
  <si>
    <t>University of Copenhagen, Denmark</t>
  </si>
  <si>
    <t>Denmark, United Kingdom, China, Norway</t>
  </si>
  <si>
    <t>CNPq, CAPES</t>
  </si>
  <si>
    <t>CONACYt, Danish Council for Idependent Research, Independent Research Fund Denmark</t>
  </si>
  <si>
    <t>CAPES</t>
  </si>
  <si>
    <t>CONACYT</t>
  </si>
  <si>
    <t>Brazilian Coauthors</t>
  </si>
  <si>
    <t>Danish Council for Idependent Research</t>
  </si>
  <si>
    <t>Independent Research Fund Denmark</t>
  </si>
  <si>
    <t>Agência Nacional de Energia Elétrica (ANEEL)</t>
  </si>
  <si>
    <t>ANEEL</t>
  </si>
  <si>
    <t>Université Joseph Fourier, France</t>
  </si>
  <si>
    <t>Institute for Ecological Research, SP</t>
  </si>
  <si>
    <t>Embrapa Genetic Resources and Biotechnology, Brasilia</t>
  </si>
  <si>
    <t>USA</t>
  </si>
  <si>
    <t>United States Department of Agriculture-National Institute of Food and Agriculture (USDA-NIFA)</t>
  </si>
  <si>
    <t>USDA-NIFA</t>
  </si>
  <si>
    <t>United Kingdom</t>
  </si>
  <si>
    <t>ANEEL, Fundo Amazônia</t>
  </si>
  <si>
    <t>Gordon and Betty Moore Foundation</t>
  </si>
  <si>
    <t>Fundo Amazônico</t>
  </si>
  <si>
    <t>Zoological Research Museum Alexander Koeing, Germany</t>
  </si>
  <si>
    <t>Alexander von Humboldt-Stiftung,</t>
  </si>
  <si>
    <t>Germany</t>
  </si>
  <si>
    <t>Instituto Tecnológico Vale Belém</t>
  </si>
  <si>
    <t>Conselho Nacional de Desenvolvimento Cientifico e tecnologico (CNDCT)</t>
  </si>
  <si>
    <t>Vale S.A.</t>
  </si>
  <si>
    <t>CABANA</t>
  </si>
  <si>
    <t>CABANA Project</t>
  </si>
  <si>
    <t>Vale S.A., (CNDCT)</t>
  </si>
  <si>
    <t>Braziliam Ministry of Environmnet, CNPq</t>
  </si>
  <si>
    <t>CABANA, Danish Council for Idependent Research, Independent Research Fund Denmark</t>
  </si>
  <si>
    <t>Denmark, Norway, United Kingdom</t>
  </si>
  <si>
    <t>Brazilian Ministry of Environmne</t>
  </si>
  <si>
    <t>Federal University of Pará, Belém</t>
  </si>
  <si>
    <t>Norwegian Directorate</t>
  </si>
  <si>
    <t>Nowergian Directorate</t>
  </si>
  <si>
    <t>Norway</t>
  </si>
  <si>
    <t>Federal University of Rio Grande do Sul</t>
  </si>
  <si>
    <t>CNDCT, FAPERG</t>
  </si>
  <si>
    <t>Australia</t>
  </si>
  <si>
    <t>Federal University of Paraná</t>
  </si>
  <si>
    <t>Curtin University, Australia</t>
  </si>
  <si>
    <t>BHP Brasil</t>
  </si>
  <si>
    <t>CNDCT</t>
  </si>
  <si>
    <t>Federal University of Espirito Santo</t>
  </si>
  <si>
    <t>FAPES</t>
  </si>
  <si>
    <t>FAPES, CNPq, CAPES</t>
  </si>
  <si>
    <t>University of Salford, UK</t>
  </si>
  <si>
    <t>University of Salford Internal Research Award</t>
  </si>
  <si>
    <t>Smithsonian Institute, USA</t>
  </si>
  <si>
    <t>Global Genome Initiative</t>
  </si>
  <si>
    <t>USA, Switzerland, China</t>
  </si>
  <si>
    <t>Bio Bureau Biotchnology, Rio de Janeiro</t>
  </si>
  <si>
    <t>Germany, United Kingdom</t>
  </si>
  <si>
    <t>Itaipu Binacional, CNPq</t>
  </si>
  <si>
    <t>Itaipu Binacional</t>
  </si>
  <si>
    <t>United Kingdom, Norway</t>
  </si>
  <si>
    <t>CNPq, Science without Borders Program</t>
  </si>
  <si>
    <t xml:space="preserve">Science withput Borders </t>
  </si>
  <si>
    <t>United Kingdom, Norway, Portugal</t>
  </si>
  <si>
    <t>Pontifical Catholic University of Minas Gerais</t>
  </si>
  <si>
    <t>FAPEMIG, CNPQ</t>
  </si>
  <si>
    <t>FAPEMIG</t>
  </si>
  <si>
    <t>United Kingdom, Portugal</t>
  </si>
  <si>
    <t>CAPES, CNDCT, FAPEMIG</t>
  </si>
  <si>
    <t>Spain, Sweden</t>
  </si>
  <si>
    <t>FAPESP, CNPq, CAPES</t>
  </si>
  <si>
    <t>FAPES, CNPq</t>
  </si>
  <si>
    <t>Ostrensky, A; Leite, RVV; Bertao, APD; Stica, PV; Horodesky, A; Netto, OSM; Pie, MR; Pestana, D; Zanin, TL; Pont, GD</t>
  </si>
  <si>
    <t>Assessing the bioinvasion of the golden mussel (Limnoperna fortunei) through different watersheds in South Brazil: a comparison between quali-quantitative microscopic and molecular techniques</t>
  </si>
  <si>
    <t>Research and Development fund</t>
  </si>
  <si>
    <t>Federal University of Lavras</t>
  </si>
  <si>
    <t>Pompeu, SP; Wouters, L; Hilário, HO; Loures, RC; Peressin, A; Prado, IV; Suzuki, FM; Carvalho DC</t>
  </si>
  <si>
    <t>Inadequate sampling frequency and imprecise taxonomic indentification mask results in studies of migratory freshwater fish icthioplankton</t>
  </si>
  <si>
    <t>I See Golden Mussel! They are Everywhere! Environmental DNA Supports Widespread Dissemination of Limnoperna fortunei in Hydrographic Basins in the Paraná State, Brazil.</t>
  </si>
  <si>
    <t>Instituto de Tecnologua para o Desenvolvimento</t>
  </si>
  <si>
    <t>SANEPAR</t>
  </si>
  <si>
    <t>Andrade, P; Razzolini, E; Baggio, FA</t>
  </si>
  <si>
    <t>)</t>
  </si>
  <si>
    <t xml:space="preserve"> Brazilian First author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</si>
</sst>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Fill="1"/>
    <xf numFmtId="0" fontId="1" fillId="0" borderId="1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1" fillId="0" borderId="0" xfId="0" applyFont="1" applyFill="1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99"/>
  <sheetViews>
    <sheetView tabSelected="1" workbookViewId="0">
      <selection activeCell="A11" sqref="A11"/>
    </sheetView>
  </sheetViews>
  <sheetFormatPr baseColWidth="10" defaultColWidth="8.83203125" defaultRowHeight="15" x14ac:dyDescent="0.2"/>
  <cols>
    <col min="1" max="1" width="210.6640625" style="5" bestFit="1" customWidth="1"/>
    <col min="2" max="2" width="161.33203125" style="5" bestFit="1" customWidth="1"/>
    <col min="3" max="3" width="17.6640625" style="5" bestFit="1" customWidth="1"/>
    <col min="4" max="4" width="43.6640625" style="5" bestFit="1" customWidth="1"/>
    <col min="5" max="5" width="15.83203125" style="5" bestFit="1" customWidth="1"/>
    <col min="6" max="6" width="11.1640625" style="5" customWidth="1"/>
    <col min="7" max="7" width="27" style="5" bestFit="1" customWidth="1"/>
    <col min="8" max="8" width="57.1640625" style="5" bestFit="1" customWidth="1"/>
    <col min="9" max="9" width="74.6640625" style="5" bestFit="1" customWidth="1"/>
    <col min="10" max="10" width="8.33203125" style="5" bestFit="1" customWidth="1"/>
    <col min="11" max="11" width="25.6640625" style="5" bestFit="1" customWidth="1"/>
    <col min="12" max="12" width="5.33203125" style="5" bestFit="1" customWidth="1"/>
    <col min="13" max="13" width="6.83203125" style="5" bestFit="1" customWidth="1"/>
    <col min="14" max="14" width="7.1640625" style="5" bestFit="1" customWidth="1"/>
    <col min="15" max="15" width="5.83203125" style="5" bestFit="1" customWidth="1"/>
    <col min="16" max="16" width="8.33203125" style="5" bestFit="1" customWidth="1"/>
    <col min="17" max="17" width="33.33203125" style="5" bestFit="1" customWidth="1"/>
    <col min="18" max="18" width="6.83203125" style="5" bestFit="1" customWidth="1"/>
    <col min="19" max="20" width="6.83203125" style="5" customWidth="1"/>
    <col min="21" max="21" width="14.83203125" style="5" bestFit="1" customWidth="1"/>
    <col min="22" max="22" width="23.1640625" style="5" bestFit="1" customWidth="1"/>
    <col min="23" max="23" width="8.1640625" style="5" bestFit="1" customWidth="1"/>
    <col min="24" max="24" width="27" style="5" bestFit="1" customWidth="1"/>
    <col min="25" max="25" width="27" style="5" customWidth="1"/>
    <col min="26" max="26" width="14" style="5" bestFit="1" customWidth="1"/>
    <col min="27" max="27" width="8.83203125" style="5" bestFit="1" customWidth="1"/>
    <col min="28" max="29" width="8.1640625" style="5" customWidth="1"/>
    <col min="30" max="30" width="23.1640625" style="5" customWidth="1"/>
    <col min="31" max="31" width="11.33203125" style="5" bestFit="1" customWidth="1"/>
    <col min="32" max="32" width="8.5" style="5" bestFit="1" customWidth="1"/>
    <col min="33" max="33" width="32.5" style="5" bestFit="1" customWidth="1"/>
    <col min="34" max="34" width="30.6640625" style="5" bestFit="1" customWidth="1"/>
    <col min="35" max="35" width="30" style="5" bestFit="1" customWidth="1"/>
    <col min="36" max="36" width="21" style="5" customWidth="1"/>
    <col min="37" max="37" width="9.6640625" style="5" bestFit="1" customWidth="1"/>
    <col min="38" max="38" width="19" style="5" bestFit="1" customWidth="1"/>
    <col min="39" max="39" width="35.5" style="5" bestFit="1" customWidth="1"/>
    <col min="40" max="40" width="20.6640625" style="5" bestFit="1" customWidth="1"/>
    <col min="41" max="41" width="9.33203125" style="5" bestFit="1" customWidth="1"/>
    <col min="42" max="42" width="33.6640625" style="5" bestFit="1" customWidth="1"/>
    <col min="43" max="16384" width="8.83203125" style="5"/>
  </cols>
  <sheetData>
    <row r="1" spans="1:42" x14ac:dyDescent="0.2">
      <c r="A1" s="1" t="s">
        <v>45</v>
      </c>
      <c r="B1" s="2" t="s">
        <v>0</v>
      </c>
      <c r="C1" s="2" t="s">
        <v>198</v>
      </c>
      <c r="D1" s="3" t="s">
        <v>88</v>
      </c>
      <c r="E1" s="4" t="s">
        <v>124</v>
      </c>
      <c r="F1" s="4" t="s">
        <v>115</v>
      </c>
      <c r="G1" s="4" t="s">
        <v>43</v>
      </c>
      <c r="H1" s="4" t="s">
        <v>44</v>
      </c>
      <c r="I1" s="4" t="s">
        <v>101</v>
      </c>
      <c r="J1" s="4" t="s">
        <v>195</v>
      </c>
      <c r="K1" s="4" t="s">
        <v>189</v>
      </c>
      <c r="L1" s="4" t="s">
        <v>92</v>
      </c>
      <c r="M1" s="4" t="s">
        <v>93</v>
      </c>
      <c r="N1" s="4" t="s">
        <v>100</v>
      </c>
      <c r="O1" s="4" t="s">
        <v>164</v>
      </c>
      <c r="P1" s="4" t="s">
        <v>181</v>
      </c>
      <c r="Q1" s="4" t="s">
        <v>108</v>
      </c>
      <c r="R1" s="4" t="s">
        <v>109</v>
      </c>
      <c r="S1" s="4" t="s">
        <v>122</v>
      </c>
      <c r="T1" s="4" t="s">
        <v>128</v>
      </c>
      <c r="U1" s="4" t="s">
        <v>138</v>
      </c>
      <c r="V1" s="4" t="s">
        <v>110</v>
      </c>
      <c r="W1" s="4" t="s">
        <v>162</v>
      </c>
      <c r="X1" s="4" t="s">
        <v>151</v>
      </c>
      <c r="Y1" s="4" t="s">
        <v>177</v>
      </c>
      <c r="Z1" s="4" t="s">
        <v>174</v>
      </c>
      <c r="AA1" s="4" t="s">
        <v>161</v>
      </c>
      <c r="AB1" s="4" t="s">
        <v>144</v>
      </c>
      <c r="AC1" s="4" t="s">
        <v>145</v>
      </c>
      <c r="AD1" s="4" t="s">
        <v>140</v>
      </c>
      <c r="AE1" s="4" t="s">
        <v>103</v>
      </c>
      <c r="AF1" s="4" t="s">
        <v>123</v>
      </c>
      <c r="AG1" s="4" t="s">
        <v>125</v>
      </c>
      <c r="AH1" s="4" t="s">
        <v>126</v>
      </c>
      <c r="AI1" s="4" t="s">
        <v>137</v>
      </c>
      <c r="AJ1" s="4" t="s">
        <v>112</v>
      </c>
      <c r="AK1" s="4" t="s">
        <v>134</v>
      </c>
      <c r="AL1" s="4" t="s">
        <v>154</v>
      </c>
      <c r="AM1" s="4" t="s">
        <v>167</v>
      </c>
      <c r="AN1" s="4" t="s">
        <v>169</v>
      </c>
      <c r="AO1" s="4" t="s">
        <v>89</v>
      </c>
      <c r="AP1" s="4" t="s">
        <v>90</v>
      </c>
    </row>
    <row r="2" spans="1:42" x14ac:dyDescent="0.2">
      <c r="A2" s="1" t="s">
        <v>46</v>
      </c>
      <c r="B2" s="5" t="s">
        <v>1</v>
      </c>
      <c r="C2" s="5">
        <v>1</v>
      </c>
      <c r="D2" s="5" t="s">
        <v>94</v>
      </c>
      <c r="E2" s="5">
        <v>1</v>
      </c>
      <c r="F2" s="5">
        <v>0</v>
      </c>
      <c r="G2" s="5">
        <v>0</v>
      </c>
      <c r="H2" s="5" t="s">
        <v>92</v>
      </c>
      <c r="I2" s="5" t="s">
        <v>97</v>
      </c>
      <c r="J2" s="5">
        <v>0</v>
      </c>
      <c r="K2" s="5">
        <v>0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1</v>
      </c>
      <c r="AP2" s="5" t="s">
        <v>91</v>
      </c>
    </row>
    <row r="3" spans="1:42" x14ac:dyDescent="0.2">
      <c r="A3" s="1" t="s">
        <v>47</v>
      </c>
      <c r="B3" s="5" t="s">
        <v>2</v>
      </c>
      <c r="C3" s="5">
        <v>1</v>
      </c>
      <c r="D3" s="5" t="s">
        <v>94</v>
      </c>
      <c r="E3" s="5">
        <v>1</v>
      </c>
      <c r="F3" s="5">
        <v>1</v>
      </c>
      <c r="G3" s="5">
        <v>0</v>
      </c>
      <c r="H3" s="5" t="s">
        <v>92</v>
      </c>
      <c r="I3" s="5" t="s">
        <v>97</v>
      </c>
      <c r="J3" s="5">
        <v>0</v>
      </c>
      <c r="K3" s="5">
        <v>0</v>
      </c>
      <c r="L3" s="5">
        <v>1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</v>
      </c>
      <c r="AP3" s="5" t="s">
        <v>91</v>
      </c>
    </row>
    <row r="4" spans="1:42" x14ac:dyDescent="0.2">
      <c r="A4" s="1" t="s">
        <v>48</v>
      </c>
      <c r="B4" s="5" t="s">
        <v>3</v>
      </c>
      <c r="C4" s="5">
        <v>1</v>
      </c>
      <c r="D4" s="5" t="s">
        <v>95</v>
      </c>
      <c r="E4" s="5">
        <v>1</v>
      </c>
      <c r="F4" s="5">
        <v>0</v>
      </c>
      <c r="G4" s="5">
        <v>0</v>
      </c>
      <c r="H4" s="5" t="s">
        <v>93</v>
      </c>
      <c r="I4" s="5" t="s">
        <v>97</v>
      </c>
      <c r="J4" s="5">
        <v>0</v>
      </c>
      <c r="K4" s="5">
        <v>0</v>
      </c>
      <c r="L4" s="5">
        <v>0</v>
      </c>
      <c r="M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 t="s">
        <v>97</v>
      </c>
    </row>
    <row r="5" spans="1:42" x14ac:dyDescent="0.2">
      <c r="A5" s="1" t="s">
        <v>49</v>
      </c>
      <c r="B5" s="5" t="s">
        <v>4</v>
      </c>
      <c r="C5" s="5">
        <v>1</v>
      </c>
      <c r="D5" s="5" t="s">
        <v>96</v>
      </c>
      <c r="E5" s="5">
        <v>1</v>
      </c>
      <c r="F5" s="5">
        <v>0</v>
      </c>
      <c r="G5" s="5">
        <v>0</v>
      </c>
      <c r="H5" s="5" t="s">
        <v>93</v>
      </c>
      <c r="I5" s="5" t="s">
        <v>97</v>
      </c>
      <c r="J5" s="5">
        <v>0</v>
      </c>
      <c r="K5" s="5">
        <v>0</v>
      </c>
      <c r="L5" s="5">
        <v>0</v>
      </c>
      <c r="M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1</v>
      </c>
      <c r="AP5" s="5" t="s">
        <v>91</v>
      </c>
    </row>
    <row r="6" spans="1:42" x14ac:dyDescent="0.2">
      <c r="A6" s="1" t="s">
        <v>50</v>
      </c>
      <c r="B6" s="5" t="s">
        <v>5</v>
      </c>
      <c r="C6" s="5">
        <v>1</v>
      </c>
      <c r="D6" s="5" t="s">
        <v>94</v>
      </c>
      <c r="E6" s="5">
        <v>1</v>
      </c>
      <c r="F6" s="5">
        <v>0</v>
      </c>
      <c r="G6" s="5">
        <v>0</v>
      </c>
      <c r="H6" s="5" t="s">
        <v>93</v>
      </c>
      <c r="I6" s="5" t="s">
        <v>97</v>
      </c>
      <c r="J6" s="5">
        <v>0</v>
      </c>
      <c r="K6" s="5">
        <v>0</v>
      </c>
      <c r="L6" s="5">
        <v>0</v>
      </c>
      <c r="M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 t="s">
        <v>97</v>
      </c>
    </row>
    <row r="7" spans="1:42" x14ac:dyDescent="0.2">
      <c r="A7" s="1" t="s">
        <v>51</v>
      </c>
      <c r="B7" s="5" t="s">
        <v>6</v>
      </c>
      <c r="C7" s="5">
        <v>1</v>
      </c>
      <c r="D7" s="5" t="s">
        <v>94</v>
      </c>
      <c r="E7" s="5">
        <v>1</v>
      </c>
      <c r="F7" s="5">
        <v>1</v>
      </c>
      <c r="G7" s="5">
        <v>0</v>
      </c>
      <c r="H7" s="5" t="s">
        <v>99</v>
      </c>
      <c r="I7" s="5" t="s">
        <v>102</v>
      </c>
      <c r="J7" s="5">
        <v>0</v>
      </c>
      <c r="K7" s="5">
        <v>0</v>
      </c>
      <c r="L7" s="5">
        <v>1</v>
      </c>
      <c r="M7" s="5">
        <v>0</v>
      </c>
      <c r="N7" s="5">
        <v>1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1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1</v>
      </c>
      <c r="AP7" s="5" t="s">
        <v>98</v>
      </c>
    </row>
    <row r="8" spans="1:42" x14ac:dyDescent="0.2">
      <c r="A8" s="6" t="s">
        <v>52</v>
      </c>
      <c r="B8" s="5" t="s">
        <v>7</v>
      </c>
      <c r="C8" s="5">
        <v>1</v>
      </c>
      <c r="D8" s="5" t="s">
        <v>94</v>
      </c>
      <c r="E8" s="5">
        <v>0</v>
      </c>
      <c r="F8" s="5">
        <v>0</v>
      </c>
      <c r="G8" s="5">
        <v>0</v>
      </c>
      <c r="H8" s="5" t="s">
        <v>105</v>
      </c>
      <c r="I8" s="5" t="s">
        <v>97</v>
      </c>
      <c r="J8" s="5">
        <v>0</v>
      </c>
      <c r="K8" s="5">
        <v>0</v>
      </c>
      <c r="L8" s="5">
        <v>1</v>
      </c>
      <c r="M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1</v>
      </c>
      <c r="AP8" s="5" t="s">
        <v>104</v>
      </c>
    </row>
    <row r="9" spans="1:42" x14ac:dyDescent="0.2">
      <c r="A9" s="6" t="s">
        <v>53</v>
      </c>
      <c r="B9" s="5" t="s">
        <v>8</v>
      </c>
      <c r="C9" s="5">
        <v>1</v>
      </c>
      <c r="D9" s="5" t="s">
        <v>106</v>
      </c>
      <c r="E9" s="5">
        <v>1</v>
      </c>
      <c r="F9" s="5">
        <v>0</v>
      </c>
      <c r="G9" s="5">
        <v>0</v>
      </c>
      <c r="H9" s="5" t="s">
        <v>107</v>
      </c>
      <c r="I9" s="5" t="s">
        <v>97</v>
      </c>
      <c r="J9" s="5">
        <v>0</v>
      </c>
      <c r="K9" s="5">
        <v>0</v>
      </c>
      <c r="L9" s="5">
        <v>0</v>
      </c>
      <c r="M9" s="5">
        <v>1</v>
      </c>
      <c r="N9" s="5">
        <v>0</v>
      </c>
      <c r="O9" s="5">
        <v>0</v>
      </c>
      <c r="P9" s="5">
        <v>0</v>
      </c>
      <c r="Q9" s="5">
        <v>1</v>
      </c>
      <c r="R9" s="5">
        <v>1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 t="s">
        <v>97</v>
      </c>
    </row>
    <row r="10" spans="1:42" x14ac:dyDescent="0.2">
      <c r="A10" s="6" t="s">
        <v>54</v>
      </c>
      <c r="B10" s="5" t="s">
        <v>9</v>
      </c>
      <c r="C10" s="5">
        <v>1</v>
      </c>
      <c r="D10" s="5" t="s">
        <v>96</v>
      </c>
      <c r="E10" s="5">
        <v>1</v>
      </c>
      <c r="F10" s="5">
        <v>0</v>
      </c>
      <c r="G10" s="5">
        <v>0</v>
      </c>
      <c r="H10" s="5" t="s">
        <v>110</v>
      </c>
      <c r="I10" s="5" t="s">
        <v>97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 t="s">
        <v>97</v>
      </c>
    </row>
    <row r="11" spans="1:42" x14ac:dyDescent="0.2">
      <c r="A11" s="6" t="s">
        <v>55</v>
      </c>
      <c r="B11" s="5" t="s">
        <v>10</v>
      </c>
      <c r="C11" s="5">
        <v>1</v>
      </c>
      <c r="D11" s="5" t="s">
        <v>111</v>
      </c>
      <c r="E11" s="5">
        <v>0</v>
      </c>
      <c r="F11" s="5">
        <v>1</v>
      </c>
      <c r="G11" s="5">
        <v>0</v>
      </c>
      <c r="H11" s="5" t="s">
        <v>92</v>
      </c>
      <c r="I11" s="5" t="s">
        <v>112</v>
      </c>
      <c r="J11" s="5">
        <v>0</v>
      </c>
      <c r="K11" s="5">
        <v>0</v>
      </c>
      <c r="L11" s="5">
        <v>1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1</v>
      </c>
      <c r="AK11" s="5">
        <v>0</v>
      </c>
      <c r="AL11" s="5">
        <v>0</v>
      </c>
      <c r="AM11" s="5">
        <v>0</v>
      </c>
      <c r="AN11" s="5">
        <v>0</v>
      </c>
      <c r="AO11" s="5">
        <v>1</v>
      </c>
      <c r="AP11" s="5" t="s">
        <v>113</v>
      </c>
    </row>
    <row r="12" spans="1:42" x14ac:dyDescent="0.2">
      <c r="A12" s="6" t="s">
        <v>56</v>
      </c>
      <c r="B12" s="5" t="s">
        <v>11</v>
      </c>
      <c r="C12" s="5">
        <v>1</v>
      </c>
      <c r="D12" s="5" t="s">
        <v>114</v>
      </c>
      <c r="E12" s="5">
        <v>1</v>
      </c>
      <c r="F12" s="5">
        <v>1</v>
      </c>
      <c r="G12" s="5">
        <v>0</v>
      </c>
      <c r="H12" s="5" t="s">
        <v>117</v>
      </c>
      <c r="I12" s="5" t="s">
        <v>97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1</v>
      </c>
      <c r="AP12" s="5" t="s">
        <v>116</v>
      </c>
    </row>
    <row r="13" spans="1:42" x14ac:dyDescent="0.2">
      <c r="A13" s="7" t="s">
        <v>57</v>
      </c>
      <c r="B13" s="5" t="s">
        <v>12</v>
      </c>
      <c r="C13" s="5">
        <v>0</v>
      </c>
      <c r="D13" s="5" t="s">
        <v>118</v>
      </c>
      <c r="E13" s="5">
        <v>1</v>
      </c>
      <c r="F13" s="5">
        <v>1</v>
      </c>
      <c r="G13" s="5">
        <v>0</v>
      </c>
      <c r="H13" s="5" t="s">
        <v>120</v>
      </c>
      <c r="I13" s="5" t="s">
        <v>121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1</v>
      </c>
      <c r="AG13" s="5">
        <v>1</v>
      </c>
      <c r="AH13" s="5">
        <v>1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1</v>
      </c>
      <c r="AP13" s="5" t="s">
        <v>119</v>
      </c>
    </row>
    <row r="14" spans="1:42" x14ac:dyDescent="0.2">
      <c r="A14" s="1" t="s">
        <v>58</v>
      </c>
      <c r="B14" s="5" t="s">
        <v>13</v>
      </c>
      <c r="C14" s="5">
        <v>1</v>
      </c>
      <c r="D14" s="5" t="s">
        <v>96</v>
      </c>
      <c r="E14" s="5">
        <v>1</v>
      </c>
      <c r="F14" s="5">
        <v>0</v>
      </c>
      <c r="G14" s="5">
        <v>0</v>
      </c>
      <c r="H14" s="5" t="s">
        <v>127</v>
      </c>
      <c r="I14" s="5" t="s">
        <v>97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 t="s">
        <v>97</v>
      </c>
    </row>
    <row r="15" spans="1:42" x14ac:dyDescent="0.2">
      <c r="A15" s="1" t="s">
        <v>59</v>
      </c>
      <c r="B15" s="5" t="s">
        <v>14</v>
      </c>
      <c r="C15" s="5">
        <v>1</v>
      </c>
      <c r="D15" s="5" t="s">
        <v>129</v>
      </c>
      <c r="E15" s="5">
        <v>1</v>
      </c>
      <c r="F15" s="5">
        <v>1</v>
      </c>
      <c r="G15" s="5">
        <v>0</v>
      </c>
      <c r="H15" s="5" t="s">
        <v>99</v>
      </c>
      <c r="I15" s="5" t="s">
        <v>102</v>
      </c>
      <c r="J15" s="5">
        <v>0</v>
      </c>
      <c r="K15" s="5">
        <v>0</v>
      </c>
      <c r="L15" s="5">
        <v>1</v>
      </c>
      <c r="M15" s="5">
        <v>0</v>
      </c>
      <c r="N15" s="5">
        <v>1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1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1</v>
      </c>
      <c r="AP15" s="5" t="s">
        <v>98</v>
      </c>
    </row>
    <row r="16" spans="1:42" x14ac:dyDescent="0.2">
      <c r="A16" s="1" t="s">
        <v>60</v>
      </c>
      <c r="B16" s="5" t="s">
        <v>15</v>
      </c>
      <c r="C16" s="5">
        <v>1</v>
      </c>
      <c r="D16" s="5" t="s">
        <v>130</v>
      </c>
      <c r="E16" s="5">
        <v>1</v>
      </c>
      <c r="F16" s="5">
        <v>0</v>
      </c>
      <c r="G16" s="5">
        <v>0</v>
      </c>
      <c r="H16" s="5" t="s">
        <v>127</v>
      </c>
      <c r="I16" s="5" t="s">
        <v>97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 t="s">
        <v>97</v>
      </c>
    </row>
    <row r="17" spans="1:42" x14ac:dyDescent="0.2">
      <c r="A17" s="1" t="s">
        <v>61</v>
      </c>
      <c r="B17" s="5" t="s">
        <v>16</v>
      </c>
      <c r="C17" s="5">
        <v>1</v>
      </c>
      <c r="D17" s="5" t="s">
        <v>131</v>
      </c>
      <c r="E17" s="5">
        <v>1</v>
      </c>
      <c r="F17" s="5">
        <v>1</v>
      </c>
      <c r="G17" s="5">
        <v>0</v>
      </c>
      <c r="H17" s="5" t="s">
        <v>97</v>
      </c>
      <c r="I17" s="5" t="s">
        <v>133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1</v>
      </c>
      <c r="AL17" s="5">
        <v>0</v>
      </c>
      <c r="AM17" s="5">
        <v>0</v>
      </c>
      <c r="AN17" s="5">
        <v>0</v>
      </c>
      <c r="AO17" s="5">
        <v>1</v>
      </c>
      <c r="AP17" s="5" t="s">
        <v>132</v>
      </c>
    </row>
    <row r="18" spans="1:42" x14ac:dyDescent="0.2">
      <c r="A18" s="6" t="s">
        <v>62</v>
      </c>
      <c r="B18" s="5" t="s">
        <v>17</v>
      </c>
      <c r="C18" s="5">
        <v>1</v>
      </c>
      <c r="D18" s="5" t="s">
        <v>130</v>
      </c>
      <c r="E18" s="5">
        <v>1</v>
      </c>
      <c r="F18" s="5">
        <v>0</v>
      </c>
      <c r="G18" s="5">
        <v>0</v>
      </c>
      <c r="H18" s="5" t="s">
        <v>136</v>
      </c>
      <c r="I18" s="5" t="s">
        <v>137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1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1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1</v>
      </c>
      <c r="AP18" s="5" t="s">
        <v>135</v>
      </c>
    </row>
    <row r="19" spans="1:42" x14ac:dyDescent="0.2">
      <c r="A19" s="1" t="s">
        <v>63</v>
      </c>
      <c r="B19" s="5" t="s">
        <v>18</v>
      </c>
      <c r="C19" s="5">
        <v>1</v>
      </c>
      <c r="D19" s="5" t="s">
        <v>139</v>
      </c>
      <c r="E19" s="5">
        <v>1</v>
      </c>
      <c r="F19" s="5">
        <v>1</v>
      </c>
      <c r="G19" s="5">
        <v>0</v>
      </c>
      <c r="H19" s="5" t="s">
        <v>143</v>
      </c>
      <c r="I19" s="5" t="s">
        <v>140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1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1</v>
      </c>
      <c r="AP19" s="5" t="s">
        <v>141</v>
      </c>
    </row>
    <row r="20" spans="1:42" x14ac:dyDescent="0.2">
      <c r="A20" s="1" t="s">
        <v>64</v>
      </c>
      <c r="B20" s="5" t="s">
        <v>19</v>
      </c>
      <c r="C20" s="5">
        <v>1</v>
      </c>
      <c r="D20" s="5" t="s">
        <v>142</v>
      </c>
      <c r="E20" s="5">
        <v>1</v>
      </c>
      <c r="F20" s="5">
        <v>0</v>
      </c>
      <c r="G20" s="5">
        <v>0</v>
      </c>
      <c r="H20" s="5" t="s">
        <v>147</v>
      </c>
      <c r="I20" s="5" t="s">
        <v>146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  <c r="Y20" s="5">
        <v>0</v>
      </c>
      <c r="Z20" s="5">
        <v>0</v>
      </c>
      <c r="AA20" s="5">
        <v>0</v>
      </c>
      <c r="AB20" s="5">
        <v>1</v>
      </c>
      <c r="AC20" s="5">
        <v>1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1</v>
      </c>
      <c r="AP20" s="5" t="s">
        <v>135</v>
      </c>
    </row>
    <row r="21" spans="1:42" x14ac:dyDescent="0.2">
      <c r="A21" s="6" t="s">
        <v>65</v>
      </c>
      <c r="B21" s="5" t="s">
        <v>20</v>
      </c>
      <c r="C21" s="5">
        <v>0</v>
      </c>
      <c r="D21" s="5" t="s">
        <v>118</v>
      </c>
      <c r="E21" s="5">
        <v>1</v>
      </c>
      <c r="F21" s="5">
        <v>1</v>
      </c>
      <c r="G21" s="5">
        <v>0</v>
      </c>
      <c r="H21" s="5" t="s">
        <v>148</v>
      </c>
      <c r="I21" s="5" t="s">
        <v>149</v>
      </c>
      <c r="J21" s="5">
        <v>0</v>
      </c>
      <c r="K21" s="5">
        <v>0</v>
      </c>
      <c r="L21" s="5">
        <v>1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  <c r="Y21" s="5">
        <v>0</v>
      </c>
      <c r="Z21" s="5">
        <v>0</v>
      </c>
      <c r="AA21" s="5">
        <v>0</v>
      </c>
      <c r="AB21" s="5">
        <v>1</v>
      </c>
      <c r="AC21" s="5">
        <v>1</v>
      </c>
      <c r="AD21" s="5">
        <v>0</v>
      </c>
      <c r="AE21" s="5">
        <v>0</v>
      </c>
      <c r="AF21" s="5">
        <v>0</v>
      </c>
      <c r="AG21" s="5">
        <v>1</v>
      </c>
      <c r="AH21" s="5">
        <v>1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1</v>
      </c>
      <c r="AP21" s="5" t="s">
        <v>150</v>
      </c>
    </row>
    <row r="22" spans="1:42" x14ac:dyDescent="0.2">
      <c r="A22" s="1" t="s">
        <v>66</v>
      </c>
      <c r="B22" s="5" t="s">
        <v>21</v>
      </c>
      <c r="C22" s="5">
        <v>1</v>
      </c>
      <c r="D22" s="5" t="s">
        <v>152</v>
      </c>
      <c r="E22" s="5">
        <v>1</v>
      </c>
      <c r="F22" s="5">
        <v>0</v>
      </c>
      <c r="G22" s="5">
        <v>0</v>
      </c>
      <c r="H22" s="5" t="s">
        <v>120</v>
      </c>
      <c r="I22" s="5" t="s">
        <v>153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1</v>
      </c>
      <c r="AM22" s="5">
        <v>0</v>
      </c>
      <c r="AN22" s="5">
        <v>0</v>
      </c>
      <c r="AO22" s="5">
        <v>1</v>
      </c>
      <c r="AP22" s="5" t="s">
        <v>155</v>
      </c>
    </row>
    <row r="23" spans="1:42" x14ac:dyDescent="0.2">
      <c r="A23" s="1" t="s">
        <v>67</v>
      </c>
      <c r="B23" s="5" t="s">
        <v>22</v>
      </c>
      <c r="C23" s="5">
        <v>1</v>
      </c>
      <c r="D23" s="5" t="s">
        <v>156</v>
      </c>
      <c r="E23" s="5">
        <v>1</v>
      </c>
      <c r="F23" s="5">
        <v>0</v>
      </c>
      <c r="G23" s="5">
        <v>0</v>
      </c>
      <c r="H23" s="5" t="s">
        <v>157</v>
      </c>
      <c r="I23" s="5" t="s">
        <v>97</v>
      </c>
      <c r="J23" s="5">
        <v>0</v>
      </c>
      <c r="K23" s="5">
        <v>0</v>
      </c>
      <c r="L23" s="5">
        <v>1</v>
      </c>
      <c r="M23" s="5">
        <v>0</v>
      </c>
      <c r="N23" s="5">
        <v>1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1</v>
      </c>
      <c r="AP23" s="5" t="s">
        <v>158</v>
      </c>
    </row>
    <row r="24" spans="1:42" x14ac:dyDescent="0.2">
      <c r="A24" s="1" t="s">
        <v>68</v>
      </c>
      <c r="B24" s="5" t="s">
        <v>23</v>
      </c>
      <c r="C24" s="5">
        <v>1</v>
      </c>
      <c r="D24" s="5" t="s">
        <v>159</v>
      </c>
      <c r="E24" s="5">
        <v>1</v>
      </c>
      <c r="F24" s="5">
        <v>0</v>
      </c>
      <c r="G24" s="5">
        <v>0</v>
      </c>
      <c r="H24" s="5" t="s">
        <v>93</v>
      </c>
      <c r="I24" s="5" t="s">
        <v>97</v>
      </c>
      <c r="J24" s="5">
        <v>0</v>
      </c>
      <c r="K24" s="5">
        <v>0</v>
      </c>
      <c r="L24" s="5">
        <v>0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 t="s">
        <v>97</v>
      </c>
    </row>
    <row r="25" spans="1:42" x14ac:dyDescent="0.2">
      <c r="A25" s="1" t="s">
        <v>69</v>
      </c>
      <c r="B25" s="5" t="s">
        <v>24</v>
      </c>
      <c r="C25" s="5">
        <v>1</v>
      </c>
      <c r="D25" s="5" t="s">
        <v>152</v>
      </c>
      <c r="E25" s="5">
        <v>1</v>
      </c>
      <c r="F25" s="5">
        <v>1</v>
      </c>
      <c r="G25" s="5">
        <v>0</v>
      </c>
      <c r="H25" s="5" t="s">
        <v>92</v>
      </c>
      <c r="I25" s="5" t="s">
        <v>97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1</v>
      </c>
      <c r="AP25" s="5" t="s">
        <v>155</v>
      </c>
    </row>
    <row r="26" spans="1:42" x14ac:dyDescent="0.2">
      <c r="A26" s="1" t="s">
        <v>70</v>
      </c>
      <c r="B26" s="5" t="s">
        <v>25</v>
      </c>
      <c r="C26" s="5">
        <v>0</v>
      </c>
      <c r="D26" s="5" t="s">
        <v>160</v>
      </c>
      <c r="E26" s="5">
        <v>1</v>
      </c>
      <c r="F26" s="5">
        <v>1</v>
      </c>
      <c r="G26" s="5">
        <v>0</v>
      </c>
      <c r="H26" s="5" t="s">
        <v>161</v>
      </c>
      <c r="I26" s="5" t="s">
        <v>97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1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1</v>
      </c>
      <c r="AP26" s="5" t="s">
        <v>158</v>
      </c>
    </row>
    <row r="27" spans="1:42" x14ac:dyDescent="0.2">
      <c r="A27" s="1" t="s">
        <v>71</v>
      </c>
      <c r="B27" s="5" t="s">
        <v>26</v>
      </c>
      <c r="C27" s="5">
        <v>1</v>
      </c>
      <c r="D27" s="5" t="s">
        <v>159</v>
      </c>
      <c r="E27" s="5">
        <v>1</v>
      </c>
      <c r="F27" s="5">
        <v>1</v>
      </c>
      <c r="G27" s="5">
        <v>0</v>
      </c>
      <c r="H27" s="5" t="s">
        <v>162</v>
      </c>
      <c r="I27" s="5" t="s">
        <v>97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1</v>
      </c>
      <c r="AP27" s="5" t="s">
        <v>155</v>
      </c>
    </row>
    <row r="28" spans="1:42" x14ac:dyDescent="0.2">
      <c r="A28" s="6" t="s">
        <v>72</v>
      </c>
      <c r="B28" s="5" t="s">
        <v>27</v>
      </c>
      <c r="C28" s="5">
        <v>1</v>
      </c>
      <c r="D28" s="5" t="s">
        <v>163</v>
      </c>
      <c r="E28" s="5">
        <v>1</v>
      </c>
      <c r="F28" s="5">
        <v>0</v>
      </c>
      <c r="G28" s="5">
        <v>0</v>
      </c>
      <c r="H28" s="5" t="s">
        <v>164</v>
      </c>
      <c r="I28" s="5" t="s">
        <v>97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 t="s">
        <v>97</v>
      </c>
    </row>
    <row r="29" spans="1:42" x14ac:dyDescent="0.2">
      <c r="A29" s="1" t="s">
        <v>73</v>
      </c>
      <c r="B29" s="5" t="s">
        <v>28</v>
      </c>
      <c r="C29" s="5">
        <v>1</v>
      </c>
      <c r="D29" s="5" t="s">
        <v>163</v>
      </c>
      <c r="E29" s="5">
        <v>1</v>
      </c>
      <c r="F29" s="5">
        <v>0</v>
      </c>
      <c r="G29" s="5">
        <v>0</v>
      </c>
      <c r="H29" s="5" t="s">
        <v>165</v>
      </c>
      <c r="I29" s="5" t="s">
        <v>97</v>
      </c>
      <c r="J29" s="5">
        <v>0</v>
      </c>
      <c r="K29" s="5">
        <v>0</v>
      </c>
      <c r="L29" s="5">
        <v>1</v>
      </c>
      <c r="M29" s="5">
        <v>0</v>
      </c>
      <c r="N29" s="5">
        <v>0</v>
      </c>
      <c r="O29" s="5">
        <v>1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1</v>
      </c>
      <c r="AP29" s="5" t="s">
        <v>132</v>
      </c>
    </row>
    <row r="30" spans="1:42" x14ac:dyDescent="0.2">
      <c r="A30" s="1" t="s">
        <v>74</v>
      </c>
      <c r="B30" s="5" t="s">
        <v>29</v>
      </c>
      <c r="C30" s="5">
        <v>1</v>
      </c>
      <c r="D30" s="5" t="s">
        <v>166</v>
      </c>
      <c r="E30" s="5">
        <v>1</v>
      </c>
      <c r="F30" s="5">
        <v>1</v>
      </c>
      <c r="G30" s="5">
        <v>0</v>
      </c>
      <c r="H30" s="5" t="s">
        <v>117</v>
      </c>
      <c r="I30" s="5" t="s">
        <v>167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1</v>
      </c>
      <c r="AN30" s="5">
        <v>0</v>
      </c>
      <c r="AO30" s="5">
        <v>1</v>
      </c>
      <c r="AP30" s="5" t="s">
        <v>135</v>
      </c>
    </row>
    <row r="31" spans="1:42" x14ac:dyDescent="0.2">
      <c r="A31" s="1" t="s">
        <v>75</v>
      </c>
      <c r="B31" s="5" t="s">
        <v>30</v>
      </c>
      <c r="C31" s="5">
        <v>1</v>
      </c>
      <c r="D31" s="5" t="s">
        <v>168</v>
      </c>
      <c r="E31" s="5">
        <v>1</v>
      </c>
      <c r="F31" s="5">
        <v>1</v>
      </c>
      <c r="G31" s="5">
        <v>0</v>
      </c>
      <c r="H31" s="5" t="s">
        <v>93</v>
      </c>
      <c r="I31" s="5" t="s">
        <v>169</v>
      </c>
      <c r="J31" s="5">
        <v>0</v>
      </c>
      <c r="K31" s="5">
        <v>0</v>
      </c>
      <c r="L31" s="5">
        <v>0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1</v>
      </c>
      <c r="AO31" s="5">
        <v>1</v>
      </c>
      <c r="AP31" s="5" t="s">
        <v>170</v>
      </c>
    </row>
    <row r="32" spans="1:42" x14ac:dyDescent="0.2">
      <c r="A32" s="6" t="s">
        <v>76</v>
      </c>
      <c r="B32" s="5" t="s">
        <v>31</v>
      </c>
      <c r="C32" s="5">
        <v>1</v>
      </c>
      <c r="D32" s="5" t="s">
        <v>171</v>
      </c>
      <c r="E32" s="5">
        <v>1</v>
      </c>
      <c r="F32" s="5">
        <v>0</v>
      </c>
      <c r="G32" s="5">
        <v>0</v>
      </c>
      <c r="H32" s="5" t="s">
        <v>127</v>
      </c>
      <c r="I32" s="5" t="s">
        <v>97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 t="s">
        <v>97</v>
      </c>
    </row>
    <row r="33" spans="1:42" x14ac:dyDescent="0.2">
      <c r="A33" s="6" t="s">
        <v>77</v>
      </c>
      <c r="B33" s="5" t="s">
        <v>32</v>
      </c>
      <c r="C33" s="5">
        <v>1</v>
      </c>
      <c r="D33" s="5" t="s">
        <v>159</v>
      </c>
      <c r="E33" s="5">
        <v>1</v>
      </c>
      <c r="F33" s="5">
        <v>0</v>
      </c>
      <c r="G33" s="5">
        <v>0</v>
      </c>
      <c r="H33" s="5" t="s">
        <v>173</v>
      </c>
      <c r="I33" s="5" t="s">
        <v>97</v>
      </c>
      <c r="J33" s="5">
        <v>0</v>
      </c>
      <c r="K33" s="5">
        <v>0</v>
      </c>
      <c r="L33" s="5">
        <v>1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1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1</v>
      </c>
      <c r="AP33" s="5" t="s">
        <v>172</v>
      </c>
    </row>
    <row r="34" spans="1:42" x14ac:dyDescent="0.2">
      <c r="A34" s="6" t="s">
        <v>78</v>
      </c>
      <c r="B34" s="5" t="s">
        <v>33</v>
      </c>
      <c r="C34" s="5">
        <v>1</v>
      </c>
      <c r="D34" s="5" t="s">
        <v>166</v>
      </c>
      <c r="E34" s="5">
        <v>1</v>
      </c>
      <c r="F34" s="5">
        <v>1</v>
      </c>
      <c r="G34" s="5">
        <v>0</v>
      </c>
      <c r="H34" s="5" t="s">
        <v>162</v>
      </c>
      <c r="I34" s="5" t="s">
        <v>97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1</v>
      </c>
      <c r="AP34" s="5" t="s">
        <v>175</v>
      </c>
    </row>
    <row r="35" spans="1:42" x14ac:dyDescent="0.2">
      <c r="A35" s="1" t="s">
        <v>79</v>
      </c>
      <c r="B35" s="5" t="s">
        <v>34</v>
      </c>
      <c r="C35" s="5">
        <v>1</v>
      </c>
      <c r="D35" s="5" t="s">
        <v>166</v>
      </c>
      <c r="E35" s="5">
        <v>1</v>
      </c>
      <c r="F35" s="5">
        <v>1</v>
      </c>
      <c r="G35" s="5">
        <v>0</v>
      </c>
      <c r="H35" s="5" t="s">
        <v>176</v>
      </c>
      <c r="I35" s="5" t="s">
        <v>97</v>
      </c>
      <c r="J35" s="5">
        <v>0</v>
      </c>
      <c r="K35" s="5">
        <v>0</v>
      </c>
      <c r="L35" s="5">
        <v>1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1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1</v>
      </c>
      <c r="AP35" s="5" t="s">
        <v>178</v>
      </c>
    </row>
    <row r="36" spans="1:42" x14ac:dyDescent="0.2">
      <c r="A36" s="1" t="s">
        <v>80</v>
      </c>
      <c r="B36" s="5" t="s">
        <v>35</v>
      </c>
      <c r="C36" s="5">
        <v>1</v>
      </c>
      <c r="D36" s="5" t="s">
        <v>156</v>
      </c>
      <c r="E36" s="5">
        <v>1</v>
      </c>
      <c r="F36" s="5">
        <v>0</v>
      </c>
      <c r="G36" s="5">
        <v>0</v>
      </c>
      <c r="H36" s="5" t="s">
        <v>92</v>
      </c>
      <c r="I36" s="5" t="s">
        <v>97</v>
      </c>
      <c r="J36" s="5">
        <v>0</v>
      </c>
      <c r="K36" s="5">
        <v>0</v>
      </c>
      <c r="L36" s="5">
        <v>1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 t="s">
        <v>97</v>
      </c>
    </row>
    <row r="37" spans="1:42" x14ac:dyDescent="0.2">
      <c r="A37" s="1" t="s">
        <v>81</v>
      </c>
      <c r="B37" s="5" t="s">
        <v>36</v>
      </c>
      <c r="C37" s="5">
        <v>1</v>
      </c>
      <c r="D37" s="5" t="s">
        <v>179</v>
      </c>
      <c r="E37" s="5">
        <v>1</v>
      </c>
      <c r="F37" s="5">
        <v>0</v>
      </c>
      <c r="G37" s="5">
        <v>0</v>
      </c>
      <c r="H37" s="5" t="s">
        <v>180</v>
      </c>
      <c r="I37" s="5" t="s">
        <v>97</v>
      </c>
      <c r="J37" s="5">
        <v>0</v>
      </c>
      <c r="K37" s="5">
        <v>0</v>
      </c>
      <c r="L37" s="5">
        <v>1</v>
      </c>
      <c r="M37" s="5">
        <v>0</v>
      </c>
      <c r="N37" s="5">
        <v>0</v>
      </c>
      <c r="O37" s="5">
        <v>0</v>
      </c>
      <c r="P37" s="5">
        <v>1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1</v>
      </c>
      <c r="AP37" s="5" t="s">
        <v>182</v>
      </c>
    </row>
    <row r="38" spans="1:42" x14ac:dyDescent="0.2">
      <c r="A38" s="1" t="s">
        <v>82</v>
      </c>
      <c r="B38" s="5" t="s">
        <v>37</v>
      </c>
      <c r="C38" s="5">
        <v>1</v>
      </c>
      <c r="D38" s="5" t="s">
        <v>159</v>
      </c>
      <c r="E38" s="5">
        <v>1</v>
      </c>
      <c r="F38" s="5">
        <v>0</v>
      </c>
      <c r="G38" s="5">
        <v>0</v>
      </c>
      <c r="H38" s="5" t="s">
        <v>173</v>
      </c>
      <c r="I38" s="5" t="s">
        <v>97</v>
      </c>
      <c r="J38" s="5">
        <v>0</v>
      </c>
      <c r="K38" s="5">
        <v>0</v>
      </c>
      <c r="L38" s="5">
        <v>1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1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1</v>
      </c>
      <c r="AP38" s="5" t="s">
        <v>141</v>
      </c>
    </row>
    <row r="39" spans="1:42" x14ac:dyDescent="0.2">
      <c r="A39" s="1" t="s">
        <v>83</v>
      </c>
      <c r="B39" s="5" t="s">
        <v>38</v>
      </c>
      <c r="C39" s="5">
        <v>1</v>
      </c>
      <c r="D39" s="5" t="s">
        <v>179</v>
      </c>
      <c r="E39" s="5">
        <v>1</v>
      </c>
      <c r="F39" s="5">
        <v>0</v>
      </c>
      <c r="G39" s="5">
        <v>0</v>
      </c>
      <c r="H39" s="5" t="s">
        <v>183</v>
      </c>
      <c r="I39" s="5" t="s">
        <v>97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1</v>
      </c>
      <c r="AP39" s="5" t="s">
        <v>135</v>
      </c>
    </row>
    <row r="40" spans="1:42" x14ac:dyDescent="0.2">
      <c r="A40" s="1" t="s">
        <v>84</v>
      </c>
      <c r="B40" s="5" t="s">
        <v>39</v>
      </c>
      <c r="C40" s="5">
        <v>1</v>
      </c>
      <c r="D40" s="5" t="s">
        <v>179</v>
      </c>
      <c r="E40" s="5">
        <v>1</v>
      </c>
      <c r="F40" s="5">
        <v>0</v>
      </c>
      <c r="G40" s="5">
        <v>0</v>
      </c>
      <c r="H40" s="5" t="s">
        <v>128</v>
      </c>
      <c r="I40" s="5" t="s">
        <v>97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 t="s">
        <v>97</v>
      </c>
    </row>
    <row r="41" spans="1:42" x14ac:dyDescent="0.2">
      <c r="A41" s="6" t="s">
        <v>85</v>
      </c>
      <c r="B41" s="5" t="s">
        <v>40</v>
      </c>
      <c r="C41" s="5">
        <v>1</v>
      </c>
      <c r="D41" s="5" t="s">
        <v>94</v>
      </c>
      <c r="E41" s="5">
        <v>1</v>
      </c>
      <c r="F41" s="5">
        <v>0</v>
      </c>
      <c r="G41" s="5">
        <v>0</v>
      </c>
      <c r="H41" s="5" t="s">
        <v>185</v>
      </c>
      <c r="I41" s="5" t="s">
        <v>97</v>
      </c>
      <c r="J41" s="5">
        <v>0</v>
      </c>
      <c r="K41" s="5">
        <v>0</v>
      </c>
      <c r="L41" s="5">
        <v>1</v>
      </c>
      <c r="M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1</v>
      </c>
      <c r="AP41" s="5" t="s">
        <v>184</v>
      </c>
    </row>
    <row r="42" spans="1:42" x14ac:dyDescent="0.2">
      <c r="A42" s="6" t="s">
        <v>86</v>
      </c>
      <c r="B42" s="5" t="s">
        <v>41</v>
      </c>
      <c r="C42" s="5">
        <v>1</v>
      </c>
      <c r="D42" s="5" t="s">
        <v>163</v>
      </c>
      <c r="E42" s="5">
        <v>1</v>
      </c>
      <c r="F42" s="5">
        <v>0</v>
      </c>
      <c r="G42" s="5">
        <v>0</v>
      </c>
      <c r="H42" s="5" t="s">
        <v>186</v>
      </c>
      <c r="I42" s="5" t="s">
        <v>97</v>
      </c>
      <c r="J42" s="5">
        <v>0</v>
      </c>
      <c r="K42" s="5">
        <v>0</v>
      </c>
      <c r="L42" s="5">
        <v>1</v>
      </c>
      <c r="M42" s="5">
        <v>0</v>
      </c>
      <c r="N42" s="5">
        <v>0</v>
      </c>
      <c r="O42" s="5">
        <v>1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 t="s">
        <v>97</v>
      </c>
    </row>
    <row r="43" spans="1:42" x14ac:dyDescent="0.2">
      <c r="A43" s="6" t="s">
        <v>87</v>
      </c>
      <c r="B43" s="5" t="s">
        <v>42</v>
      </c>
      <c r="C43" s="5">
        <v>1</v>
      </c>
      <c r="D43" s="5" t="s">
        <v>163</v>
      </c>
      <c r="E43" s="5">
        <v>1</v>
      </c>
      <c r="F43" s="5">
        <v>0</v>
      </c>
      <c r="G43" s="5">
        <v>0</v>
      </c>
      <c r="H43" s="5" t="s">
        <v>165</v>
      </c>
      <c r="I43" s="5" t="s">
        <v>97</v>
      </c>
      <c r="J43" s="5">
        <v>0</v>
      </c>
      <c r="K43" s="5">
        <v>0</v>
      </c>
      <c r="L43" s="5">
        <v>1</v>
      </c>
      <c r="M43" s="5">
        <v>0</v>
      </c>
      <c r="N43" s="5">
        <v>0</v>
      </c>
      <c r="O43" s="5">
        <v>1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1</v>
      </c>
      <c r="AP43" s="5" t="s">
        <v>132</v>
      </c>
    </row>
    <row r="44" spans="1:42" x14ac:dyDescent="0.2">
      <c r="A44" s="5" t="s">
        <v>187</v>
      </c>
      <c r="B44" s="8" t="s">
        <v>188</v>
      </c>
      <c r="C44" s="5">
        <v>1</v>
      </c>
      <c r="D44" s="5" t="s">
        <v>159</v>
      </c>
      <c r="E44" s="5">
        <v>1</v>
      </c>
      <c r="F44" s="5">
        <v>0</v>
      </c>
      <c r="G44" s="5">
        <v>0</v>
      </c>
      <c r="H44" s="5" t="s">
        <v>189</v>
      </c>
      <c r="I44" s="5" t="s">
        <v>97</v>
      </c>
      <c r="J44" s="5">
        <v>0</v>
      </c>
      <c r="K44" s="5">
        <v>1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 t="s">
        <v>97</v>
      </c>
    </row>
    <row r="45" spans="1:42" x14ac:dyDescent="0.2">
      <c r="A45" s="9" t="s">
        <v>191</v>
      </c>
      <c r="B45" s="9" t="s">
        <v>192</v>
      </c>
      <c r="C45" s="5">
        <v>1</v>
      </c>
      <c r="D45" s="5" t="s">
        <v>190</v>
      </c>
      <c r="E45" s="5">
        <v>1</v>
      </c>
      <c r="F45" s="5">
        <v>0</v>
      </c>
      <c r="G45" s="5">
        <v>0</v>
      </c>
      <c r="H45" s="5" t="s">
        <v>127</v>
      </c>
      <c r="I45" s="5" t="s">
        <v>97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 t="s">
        <v>97</v>
      </c>
    </row>
    <row r="46" spans="1:42" x14ac:dyDescent="0.2">
      <c r="A46" s="9" t="s">
        <v>196</v>
      </c>
      <c r="B46" s="10" t="s">
        <v>193</v>
      </c>
      <c r="C46" s="5">
        <v>1</v>
      </c>
      <c r="D46" s="5" t="s">
        <v>194</v>
      </c>
      <c r="E46" s="5">
        <v>1</v>
      </c>
      <c r="F46" s="5">
        <v>0</v>
      </c>
      <c r="G46" s="5">
        <v>0</v>
      </c>
      <c r="H46" s="5" t="s">
        <v>195</v>
      </c>
      <c r="I46" s="5" t="s">
        <v>97</v>
      </c>
      <c r="J46" s="5">
        <v>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 t="s">
        <v>197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 t="s">
        <v>97</v>
      </c>
    </row>
    <row r="47" spans="1:42" x14ac:dyDescent="0.2">
      <c r="A47" s="1"/>
    </row>
    <row r="48" spans="1:42" x14ac:dyDescent="0.2">
      <c r="A48" s="1"/>
      <c r="AC48" s="5">
        <f>SUM(AC2:AC46)</f>
        <v>2</v>
      </c>
      <c r="AN48" s="5">
        <f>SUM(AN2:AN46)</f>
        <v>1</v>
      </c>
    </row>
    <row r="49" spans="1:34" x14ac:dyDescent="0.2">
      <c r="A49" s="1"/>
      <c r="AE49" s="5">
        <f>SUM(AE2:AE46)</f>
        <v>2</v>
      </c>
      <c r="AG49" s="5">
        <f>SUM(AG2:AG45)</f>
        <v>2</v>
      </c>
      <c r="AH49" s="5">
        <f>SUM(AH2:AH46)</f>
        <v>2</v>
      </c>
    </row>
    <row r="50" spans="1:34" x14ac:dyDescent="0.2">
      <c r="A50" s="1"/>
    </row>
    <row r="51" spans="1:34" x14ac:dyDescent="0.2">
      <c r="A51" s="1"/>
    </row>
    <row r="52" spans="1:34" x14ac:dyDescent="0.2">
      <c r="A52" s="1"/>
    </row>
    <row r="53" spans="1:34" x14ac:dyDescent="0.2">
      <c r="A53" s="1"/>
    </row>
    <row r="54" spans="1:34" x14ac:dyDescent="0.2">
      <c r="A54" s="1"/>
    </row>
    <row r="55" spans="1:34" x14ac:dyDescent="0.2">
      <c r="A55" s="1"/>
    </row>
    <row r="56" spans="1:34" x14ac:dyDescent="0.2">
      <c r="A56" s="1"/>
    </row>
    <row r="57" spans="1:34" x14ac:dyDescent="0.2">
      <c r="A57" s="1"/>
    </row>
    <row r="58" spans="1:34" x14ac:dyDescent="0.2">
      <c r="A58" s="1"/>
    </row>
    <row r="59" spans="1:34" x14ac:dyDescent="0.2">
      <c r="A59" s="1"/>
    </row>
    <row r="60" spans="1:34" x14ac:dyDescent="0.2">
      <c r="A60" s="1"/>
    </row>
    <row r="61" spans="1:34" x14ac:dyDescent="0.2">
      <c r="A61" s="1"/>
    </row>
    <row r="62" spans="1:34" x14ac:dyDescent="0.2">
      <c r="A62" s="1"/>
    </row>
    <row r="63" spans="1:34" x14ac:dyDescent="0.2">
      <c r="A63" s="1"/>
    </row>
    <row r="64" spans="1:34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 Terra de Souza Torres</cp:lastModifiedBy>
  <dcterms:created xsi:type="dcterms:W3CDTF">2025-04-23T22:41:52Z</dcterms:created>
  <dcterms:modified xsi:type="dcterms:W3CDTF">2026-02-10T18:48:30Z</dcterms:modified>
</cp:coreProperties>
</file>